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29FC487E-7F88-4B2B-BB8A-561D5ADBABA2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5" i="1" l="1"/>
  <c r="F11" i="1"/>
  <c r="F8" i="1"/>
  <c r="F5" i="1"/>
  <c r="D15" i="1"/>
  <c r="E15" i="1"/>
  <c r="E16" i="1" s="1"/>
  <c r="D11" i="1"/>
  <c r="E11" i="1"/>
  <c r="D8" i="1"/>
  <c r="E8" i="1"/>
  <c r="D5" i="1"/>
  <c r="E5" i="1"/>
  <c r="D16" i="1" l="1"/>
  <c r="F16" i="1"/>
</calcChain>
</file>

<file path=xl/sharedStrings.xml><?xml version="1.0" encoding="utf-8"?>
<sst xmlns="http://schemas.openxmlformats.org/spreadsheetml/2006/main" count="23" uniqueCount="15">
  <si>
    <t>분기</t>
  </si>
  <si>
    <t>1사분기</t>
  </si>
  <si>
    <t>영업1부</t>
  </si>
  <si>
    <t>영업2부</t>
  </si>
  <si>
    <t>2사분기</t>
  </si>
  <si>
    <t>3사분기</t>
  </si>
  <si>
    <t>4사분기</t>
  </si>
  <si>
    <t>부서</t>
    <phoneticPr fontId="1" type="noConversion"/>
  </si>
  <si>
    <t>판매수량</t>
    <phoneticPr fontId="1" type="noConversion"/>
  </si>
  <si>
    <t>매출</t>
    <phoneticPr fontId="1" type="noConversion"/>
  </si>
  <si>
    <t>평균할인율</t>
    <phoneticPr fontId="1" type="noConversion"/>
  </si>
  <si>
    <t>영업3부</t>
    <phoneticPr fontId="1" type="noConversion"/>
  </si>
  <si>
    <t>합계</t>
    <phoneticPr fontId="1" type="noConversion"/>
  </si>
  <si>
    <t>합계</t>
    <phoneticPr fontId="1" type="noConversion"/>
  </si>
  <si>
    <t>전체 합계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</si>
</sst>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0" xfId="0" applyFill="1">
      <alignment vertical="center"/>
    </xf>
    <xf numFmtId="0" fontId="4" fillId="2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176" fontId="5" fillId="0" borderId="1" xfId="1" applyFont="1" applyFill="1" applyBorder="1">
      <alignment vertical="center"/>
    </xf>
    <xf numFmtId="10" fontId="5" fillId="0" borderId="1" xfId="0" applyNumberFormat="1" applyFont="1" applyFill="1" applyBorder="1">
      <alignment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표 서식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16"/>
  <sheetViews>
    <sheetView tabSelected="1" workbookViewId="0">
      <selection activeCell="B3" sqref="B3:B4"/>
    </sheetView>
  </sheetViews>
  <sheetFormatPr defaultRowHeight="19.5" customHeight="1" x14ac:dyDescent="0.3"/>
  <cols>
    <col min="2" max="2" width="12.75" bestFit="1" customWidth="1"/>
    <col min="4" max="4" width="11.5" customWidth="1"/>
    <col min="5" max="5" width="15.125" customWidth="1"/>
    <col min="6" max="6" width="12.75" bestFit="1" customWidth="1"/>
  </cols>
  <sheetData>
    <row r="2" spans="2:9" ht="19.5" customHeight="1" x14ac:dyDescent="0.3">
      <c r="B2" s="2" t="s">
        <v>0</v>
      </c>
      <c r="C2" s="2" t="s">
        <v>7</v>
      </c>
      <c r="D2" s="2" t="s">
        <v>8</v>
      </c>
      <c r="E2" s="2" t="s">
        <v>9</v>
      </c>
      <c r="F2" s="2" t="s">
        <v>10</v>
      </c>
    </row>
    <row r="3" spans="2:9" ht="19.5" customHeight="1" x14ac:dyDescent="0.3">
      <c r="B3" s="6" t="s">
        <v>1</v>
      </c>
      <c r="C3" s="3" t="s">
        <v>2</v>
      </c>
      <c r="D3" s="4">
        <v>4616</v>
      </c>
      <c r="E3" s="4">
        <v>98779250</v>
      </c>
      <c r="F3" s="5">
        <v>4.4999999999999998E-2</v>
      </c>
    </row>
    <row r="4" spans="2:9" ht="19.5" customHeight="1" x14ac:dyDescent="0.3">
      <c r="B4" s="7"/>
      <c r="C4" s="3" t="s">
        <v>3</v>
      </c>
      <c r="D4" s="4">
        <v>5511</v>
      </c>
      <c r="E4" s="4">
        <v>134223200</v>
      </c>
      <c r="F4" s="5">
        <v>0.06</v>
      </c>
    </row>
    <row r="5" spans="2:9" ht="19.5" customHeight="1" x14ac:dyDescent="0.3">
      <c r="B5" s="8" t="s">
        <v>12</v>
      </c>
      <c r="C5" s="9"/>
      <c r="D5" s="4">
        <f t="shared" ref="D5:E5" si="0">SUM(D3:D4)</f>
        <v>10127</v>
      </c>
      <c r="E5" s="4">
        <f t="shared" si="0"/>
        <v>233002450</v>
      </c>
      <c r="F5" s="5">
        <f>AVERAGE(F3:F4)</f>
        <v>5.2499999999999998E-2</v>
      </c>
    </row>
    <row r="6" spans="2:9" ht="19.5" customHeight="1" x14ac:dyDescent="0.3">
      <c r="B6" s="6" t="s">
        <v>4</v>
      </c>
      <c r="C6" s="3" t="s">
        <v>2</v>
      </c>
      <c r="D6" s="4">
        <v>6044</v>
      </c>
      <c r="E6" s="4">
        <v>150024400</v>
      </c>
      <c r="F6" s="5">
        <v>6.3E-2</v>
      </c>
    </row>
    <row r="7" spans="2:9" ht="19.5" customHeight="1" x14ac:dyDescent="0.3">
      <c r="B7" s="7"/>
      <c r="C7" s="3" t="s">
        <v>3</v>
      </c>
      <c r="D7" s="4">
        <v>6782</v>
      </c>
      <c r="E7" s="4">
        <v>160537150</v>
      </c>
      <c r="F7" s="5">
        <v>0.06</v>
      </c>
    </row>
    <row r="8" spans="2:9" ht="19.5" customHeight="1" x14ac:dyDescent="0.3">
      <c r="B8" s="8" t="s">
        <v>13</v>
      </c>
      <c r="C8" s="9"/>
      <c r="D8" s="4">
        <f t="shared" ref="D8:E8" si="1">SUM(D6:D7)</f>
        <v>12826</v>
      </c>
      <c r="E8" s="4">
        <f t="shared" si="1"/>
        <v>310561550</v>
      </c>
      <c r="F8" s="5">
        <f>AVERAGE(F6:F7)</f>
        <v>6.1499999999999999E-2</v>
      </c>
    </row>
    <row r="9" spans="2:9" ht="19.5" customHeight="1" x14ac:dyDescent="0.3">
      <c r="B9" s="6" t="s">
        <v>5</v>
      </c>
      <c r="C9" s="3" t="s">
        <v>2</v>
      </c>
      <c r="D9" s="4">
        <v>7974</v>
      </c>
      <c r="E9" s="4">
        <v>215645850</v>
      </c>
      <c r="F9" s="5">
        <v>5.3999999999999999E-2</v>
      </c>
      <c r="H9" s="1"/>
      <c r="I9" s="1"/>
    </row>
    <row r="10" spans="2:9" ht="19.5" customHeight="1" x14ac:dyDescent="0.3">
      <c r="B10" s="7"/>
      <c r="C10" s="3" t="s">
        <v>3</v>
      </c>
      <c r="D10" s="4">
        <v>9093</v>
      </c>
      <c r="E10" s="4">
        <v>223026450</v>
      </c>
      <c r="F10" s="5">
        <v>5.7000000000000002E-2</v>
      </c>
      <c r="H10" s="1"/>
      <c r="I10" s="1"/>
    </row>
    <row r="11" spans="2:9" ht="19.5" customHeight="1" x14ac:dyDescent="0.3">
      <c r="B11" s="8" t="s">
        <v>13</v>
      </c>
      <c r="C11" s="9"/>
      <c r="D11" s="4">
        <f t="shared" ref="D11:E11" si="2">SUM(D9:D10)</f>
        <v>17067</v>
      </c>
      <c r="E11" s="4">
        <f t="shared" si="2"/>
        <v>438672300</v>
      </c>
      <c r="F11" s="5">
        <f>AVERAGE(F9:F10)</f>
        <v>5.5500000000000001E-2</v>
      </c>
      <c r="H11" s="1"/>
      <c r="I11" s="1"/>
    </row>
    <row r="12" spans="2:9" ht="19.5" customHeight="1" x14ac:dyDescent="0.3">
      <c r="B12" s="10" t="s">
        <v>6</v>
      </c>
      <c r="C12" s="3" t="s">
        <v>2</v>
      </c>
      <c r="D12" s="4">
        <v>6256</v>
      </c>
      <c r="E12" s="4">
        <v>170006500</v>
      </c>
      <c r="F12" s="5">
        <v>5.8000000000000003E-2</v>
      </c>
      <c r="H12" s="1"/>
      <c r="I12" s="1"/>
    </row>
    <row r="13" spans="2:9" ht="19.5" customHeight="1" x14ac:dyDescent="0.3">
      <c r="B13" s="11"/>
      <c r="C13" s="3" t="s">
        <v>3</v>
      </c>
      <c r="D13" s="4">
        <v>4120</v>
      </c>
      <c r="E13" s="4">
        <v>97766200</v>
      </c>
      <c r="F13" s="5">
        <v>4.5999999999999999E-2</v>
      </c>
      <c r="H13" s="1"/>
      <c r="I13" s="1"/>
    </row>
    <row r="14" spans="2:9" ht="19.5" customHeight="1" x14ac:dyDescent="0.3">
      <c r="B14" s="12"/>
      <c r="C14" s="3" t="s">
        <v>11</v>
      </c>
      <c r="D14" s="4">
        <v>2450</v>
      </c>
      <c r="E14" s="4">
        <v>58137600</v>
      </c>
      <c r="F14" s="5">
        <v>4.7E-2</v>
      </c>
      <c r="H14" s="1"/>
      <c r="I14" s="1"/>
    </row>
    <row r="15" spans="2:9" ht="19.5" customHeight="1" x14ac:dyDescent="0.3">
      <c r="B15" s="8" t="s">
        <v>13</v>
      </c>
      <c r="C15" s="9"/>
      <c r="D15" s="4">
        <f t="shared" ref="D15:E15" si="3">SUM(D12:D14)</f>
        <v>12826</v>
      </c>
      <c r="E15" s="4">
        <f t="shared" si="3"/>
        <v>325910300</v>
      </c>
      <c r="F15" s="5">
        <f>AVERAGE(F12:F14)</f>
        <v>5.0333333333333341E-2</v>
      </c>
      <c r="H15" s="1"/>
      <c r="I15" s="1"/>
    </row>
    <row r="16" spans="2:9" ht="19.5" customHeight="1" x14ac:dyDescent="0.3">
      <c r="B16" s="8" t="s">
        <v>14</v>
      </c>
      <c r="C16" s="9"/>
      <c r="D16" s="4">
        <f t="shared" ref="D16:E16" si="4">SUM(D15,D11,D8,D5)</f>
        <v>52846</v>
      </c>
      <c r="E16" s="4">
        <f t="shared" si="4"/>
        <v>1308146600</v>
      </c>
      <c r="F16" s="5">
        <f>AVERAGE(F15,F11,F8,F5)</f>
        <v>5.4958333333333331E-2</v>
      </c>
      <c r="H16" s="1"/>
      <c r="I16" s="1"/>
    </row>
  </sheetData>
  <mergeCells count="9">
    <mergeCell ref="B3:B4"/>
    <mergeCell ref="B15:C15"/>
    <mergeCell ref="B16:C16"/>
    <mergeCell ref="B6:B7"/>
    <mergeCell ref="B5:C5"/>
    <mergeCell ref="B8:C8"/>
    <mergeCell ref="B9:B10"/>
    <mergeCell ref="B11:C11"/>
    <mergeCell ref="B12:B1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표부분합서식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Interior, Font 속성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2019-08-29T00:39:09Z</dcterms:created>
  <dcterms:modified xsi:type="dcterms:W3CDTF">2019-08-29T00:39:10Z</dcterms:modified>
</cp:coreProperties>
</file>