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5\"/>
    </mc:Choice>
  </mc:AlternateContent>
  <xr:revisionPtr revIDLastSave="0" documentId="13_ncr:1_{A5D84C10-FF18-4520-8262-544441A133DC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definedNames>
    <definedName name="인쇄안해">sample!#REF!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" i="1" l="1"/>
  <c r="H67" i="1"/>
  <c r="H58" i="1"/>
  <c r="H52" i="1"/>
  <c r="H37" i="1"/>
  <c r="H26" i="1"/>
  <c r="H19" i="1"/>
  <c r="H13" i="1"/>
  <c r="H7" i="1"/>
</calcChain>
</file>

<file path=xl/sharedStrings.xml><?xml version="1.0" encoding="utf-8"?>
<sst xmlns="http://schemas.openxmlformats.org/spreadsheetml/2006/main" count="75" uniqueCount="75">
  <si>
    <t>제품</t>
  </si>
  <si>
    <t>1사분기</t>
  </si>
  <si>
    <t>2사분기</t>
  </si>
  <si>
    <t>3사분기</t>
  </si>
  <si>
    <t>4사분기</t>
  </si>
  <si>
    <t>총합계</t>
  </si>
  <si>
    <t>분류</t>
    <phoneticPr fontId="1" type="noConversion"/>
  </si>
  <si>
    <t>총 실적</t>
    <phoneticPr fontId="1" type="noConversion"/>
  </si>
  <si>
    <t>구분</t>
    <phoneticPr fontId="1" type="noConversion"/>
  </si>
  <si>
    <t>문서세단기</t>
  </si>
  <si>
    <t>문서세단기 SCUT-1000</t>
  </si>
  <si>
    <t>문서세단기 SCUT-1500B</t>
  </si>
  <si>
    <t>오피스 Z-01</t>
  </si>
  <si>
    <t>오피스 Z-03</t>
  </si>
  <si>
    <t>오피스 Z-05C</t>
  </si>
  <si>
    <t>바코드스캐너</t>
  </si>
  <si>
    <t>바코드 BCD-100 Plus</t>
  </si>
  <si>
    <t>바코드 BCD-200 Plus</t>
  </si>
  <si>
    <t>바코드 BCD-300 Plus</t>
  </si>
  <si>
    <t>바코드 Z-350</t>
  </si>
  <si>
    <t>바코드 Z-750</t>
  </si>
  <si>
    <t>복사기</t>
  </si>
  <si>
    <t>컬러레이저복사기 XI-2000</t>
  </si>
  <si>
    <t>컬러레이저복사기 XI-3200</t>
  </si>
  <si>
    <t>컬러레이저복사기 XI-4400</t>
  </si>
  <si>
    <t>흑백레이저복사기 TLE-5000</t>
  </si>
  <si>
    <t>흑백레이저복사기 TLE-8100C</t>
  </si>
  <si>
    <t>흑백레이저복사기 TLE-9000</t>
  </si>
  <si>
    <t>복사용지</t>
  </si>
  <si>
    <t>고급복사지A4 1000매</t>
  </si>
  <si>
    <t>고급복사지A4 2500매</t>
  </si>
  <si>
    <t>고급복사지A4 5000매</t>
  </si>
  <si>
    <t>고급복사지A4 500매</t>
  </si>
  <si>
    <t>복사지A4 1000매</t>
  </si>
  <si>
    <t>복사지A4 2500매</t>
  </si>
  <si>
    <t>복사지A4 5000매</t>
  </si>
  <si>
    <t>복사지A4 500매</t>
  </si>
  <si>
    <t>프리미엄복사지A4 2500매</t>
  </si>
  <si>
    <t>프리미엄복사지A4 5000매</t>
  </si>
  <si>
    <t>복합기</t>
  </si>
  <si>
    <t>레이저복합기 L200</t>
  </si>
  <si>
    <t>레이저복합기 L350</t>
  </si>
  <si>
    <t>레이저복합기 L500</t>
  </si>
  <si>
    <t>레이저복합기 L650</t>
  </si>
  <si>
    <t>레이저복합기 L800</t>
  </si>
  <si>
    <t>레이저복합기 L950</t>
  </si>
  <si>
    <t>무한레이저복합기 L500C</t>
  </si>
  <si>
    <t>무한레이저복합기 L800C</t>
  </si>
  <si>
    <t>무한잉크젯복합기 AP-3300W</t>
  </si>
  <si>
    <t>무한잉크젯복합기 AP-5500W</t>
  </si>
  <si>
    <t>잉크젯복합기 AP-3200</t>
  </si>
  <si>
    <t>잉크젯복합기 AP-3300</t>
  </si>
  <si>
    <t>잉크젯복합기 AP-4900</t>
  </si>
  <si>
    <t>잉크젯복합기 AP-5500</t>
  </si>
  <si>
    <t>제본기</t>
  </si>
  <si>
    <t>링제본기 ST-100</t>
  </si>
  <si>
    <t>링제본기 ST-200X</t>
  </si>
  <si>
    <t>열제본기 TB-8200</t>
  </si>
  <si>
    <t>와이어제본기 WC-5100</t>
  </si>
  <si>
    <t>와이어제본기 WC-5500</t>
  </si>
  <si>
    <t>출퇴근기록기</t>
  </si>
  <si>
    <t>RF OA-200</t>
  </si>
  <si>
    <t>RF OA-300</t>
  </si>
  <si>
    <t>RF OA-400</t>
  </si>
  <si>
    <t>도트 TIC-10A</t>
  </si>
  <si>
    <t>도트 TIC-1A</t>
  </si>
  <si>
    <t>도트 TIC-7A</t>
  </si>
  <si>
    <t>지문인식 FPIN-1000+</t>
  </si>
  <si>
    <t>지문인식 FPIN-2000F</t>
  </si>
  <si>
    <t>팩스</t>
  </si>
  <si>
    <t>잉크젯팩시밀리 FX-1000</t>
  </si>
  <si>
    <t>잉크젯팩시밀리 FX-1050</t>
  </si>
  <si>
    <t>잉크젯팩시밀리 FX-2000</t>
  </si>
  <si>
    <t>잉크젯팩시밀리 FX-2000+</t>
  </si>
  <si>
    <t>연간 실적 보고서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</si>
</sst>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#,"/>
    <numFmt numFmtId="178" formatCode="#,###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7" fontId="3" fillId="0" borderId="6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177" fontId="3" fillId="0" borderId="3" xfId="0" applyNumberFormat="1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0" borderId="7" xfId="0" applyNumberFormat="1" applyBorder="1">
      <alignment vertical="center"/>
    </xf>
    <xf numFmtId="178" fontId="3" fillId="0" borderId="0" xfId="0" applyNumberFormat="1" applyFont="1">
      <alignment vertical="center"/>
    </xf>
    <xf numFmtId="178" fontId="3" fillId="0" borderId="7" xfId="0" applyNumberFormat="1" applyFont="1" applyBorder="1">
      <alignment vertical="center"/>
    </xf>
    <xf numFmtId="178" fontId="3" fillId="0" borderId="13" xfId="0" applyNumberFormat="1" applyFont="1" applyBorder="1">
      <alignment vertical="center"/>
    </xf>
    <xf numFmtId="178" fontId="3" fillId="0" borderId="9" xfId="0" applyNumberFormat="1" applyFont="1" applyBorder="1">
      <alignment vertical="center"/>
    </xf>
    <xf numFmtId="177" fontId="0" fillId="0" borderId="6" xfId="0" applyNumberFormat="1" applyBorder="1">
      <alignment vertical="center"/>
    </xf>
    <xf numFmtId="177" fontId="0" fillId="0" borderId="8" xfId="0" applyNumberFormat="1" applyBorder="1">
      <alignment vertical="center"/>
    </xf>
    <xf numFmtId="178" fontId="4" fillId="4" borderId="1" xfId="0" applyNumberFormat="1" applyFont="1" applyFill="1" applyBorder="1">
      <alignment vertical="center"/>
    </xf>
    <xf numFmtId="177" fontId="4" fillId="4" borderId="10" xfId="0" applyNumberFormat="1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176" fontId="4" fillId="4" borderId="12" xfId="0" applyNumberFormat="1" applyFont="1" applyFill="1" applyBorder="1">
      <alignment vertical="center"/>
    </xf>
    <xf numFmtId="176" fontId="4" fillId="4" borderId="11" xfId="0" applyNumberFormat="1" applyFont="1" applyFill="1" applyBorder="1">
      <alignment vertical="center"/>
    </xf>
    <xf numFmtId="177" fontId="4" fillId="4" borderId="1" xfId="0" applyNumberFormat="1" applyFont="1" applyFill="1" applyBorder="1" applyAlignment="1">
      <alignment horizontal="center" vertical="center"/>
    </xf>
    <xf numFmtId="178" fontId="4" fillId="4" borderId="12" xfId="0" applyNumberFormat="1" applyFont="1" applyFill="1" applyBorder="1">
      <alignment vertical="center"/>
    </xf>
    <xf numFmtId="178" fontId="4" fillId="4" borderId="11" xfId="0" applyNumberFormat="1" applyFont="1" applyFill="1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1"/>
  <sheetViews>
    <sheetView tabSelected="1" zoomScaleNormal="100" workbookViewId="0">
      <selection activeCell="A7" sqref="A7"/>
    </sheetView>
  </sheetViews>
  <sheetFormatPr defaultRowHeight="22.5" customHeight="1" x14ac:dyDescent="0.3"/>
  <cols>
    <col min="1" max="1" width="12.5" customWidth="1"/>
    <col min="2" max="2" width="14.625" bestFit="1" customWidth="1"/>
    <col min="3" max="3" width="27.75" bestFit="1" customWidth="1"/>
    <col min="4" max="7" width="10.625" customWidth="1"/>
    <col min="8" max="8" width="13.125" customWidth="1"/>
  </cols>
  <sheetData>
    <row r="1" spans="1:8" ht="19.5" customHeight="1" x14ac:dyDescent="0.3"/>
    <row r="2" spans="1:8" ht="19.5" customHeight="1" x14ac:dyDescent="0.3">
      <c r="A2" s="25" t="s">
        <v>74</v>
      </c>
      <c r="B2" s="25"/>
      <c r="C2" s="25"/>
      <c r="D2" s="25"/>
      <c r="E2" s="25"/>
      <c r="F2" s="25"/>
      <c r="G2" s="25"/>
      <c r="H2" s="25"/>
    </row>
    <row r="3" spans="1:8" ht="19.5" customHeight="1" thickBot="1" x14ac:dyDescent="0.35">
      <c r="A3" s="26"/>
      <c r="B3" s="26"/>
      <c r="C3" s="26"/>
      <c r="D3" s="26"/>
      <c r="E3" s="26"/>
      <c r="F3" s="26"/>
      <c r="G3" s="26"/>
      <c r="H3" s="26"/>
    </row>
    <row r="4" spans="1:8" ht="7.5" customHeight="1" x14ac:dyDescent="0.3"/>
    <row r="5" spans="1:8" ht="22.5" customHeight="1" x14ac:dyDescent="0.3">
      <c r="A5" s="29" t="s">
        <v>8</v>
      </c>
      <c r="B5" s="30"/>
      <c r="C5" s="27" t="s">
        <v>0</v>
      </c>
      <c r="D5" s="27" t="s">
        <v>1</v>
      </c>
      <c r="E5" s="27" t="s">
        <v>2</v>
      </c>
      <c r="F5" s="27" t="s">
        <v>3</v>
      </c>
      <c r="G5" s="27" t="s">
        <v>4</v>
      </c>
      <c r="H5" s="27" t="s">
        <v>5</v>
      </c>
    </row>
    <row r="6" spans="1:8" ht="22.5" customHeight="1" x14ac:dyDescent="0.3">
      <c r="A6" s="8" t="s">
        <v>7</v>
      </c>
      <c r="B6" s="8" t="s">
        <v>6</v>
      </c>
      <c r="C6" s="28"/>
      <c r="D6" s="28"/>
      <c r="E6" s="28"/>
      <c r="F6" s="28"/>
      <c r="G6" s="28"/>
      <c r="H6" s="28"/>
    </row>
    <row r="7" spans="1:8" ht="22.5" customHeight="1" x14ac:dyDescent="0.3">
      <c r="A7" s="17">
        <f>SUM(H7,H13,H19,H26,H37,H52,H58,H67)</f>
        <v>1758195</v>
      </c>
      <c r="B7" s="18" t="s">
        <v>9</v>
      </c>
      <c r="C7" s="19"/>
      <c r="D7" s="20"/>
      <c r="E7" s="20"/>
      <c r="F7" s="20"/>
      <c r="G7" s="20"/>
      <c r="H7" s="21">
        <f>SUM(H8:H12)</f>
        <v>200391</v>
      </c>
    </row>
    <row r="8" spans="1:8" ht="22.5" customHeight="1" x14ac:dyDescent="0.3">
      <c r="A8" s="3"/>
      <c r="B8" s="4"/>
      <c r="C8" s="1" t="s">
        <v>10</v>
      </c>
      <c r="D8" s="9">
        <v>13572</v>
      </c>
      <c r="E8" s="9">
        <v>14244</v>
      </c>
      <c r="F8" s="9">
        <v>22276</v>
      </c>
      <c r="G8" s="9">
        <v>15105</v>
      </c>
      <c r="H8" s="10">
        <v>65197</v>
      </c>
    </row>
    <row r="9" spans="1:8" ht="22.5" customHeight="1" x14ac:dyDescent="0.3">
      <c r="A9" s="3"/>
      <c r="B9" s="4"/>
      <c r="C9" s="1" t="s">
        <v>11</v>
      </c>
      <c r="D9" s="9">
        <v>8913</v>
      </c>
      <c r="E9" s="9">
        <v>13015</v>
      </c>
      <c r="F9" s="9">
        <v>21314</v>
      </c>
      <c r="G9" s="9">
        <v>34674</v>
      </c>
      <c r="H9" s="10">
        <v>77916</v>
      </c>
    </row>
    <row r="10" spans="1:8" ht="22.5" customHeight="1" x14ac:dyDescent="0.3">
      <c r="A10" s="3"/>
      <c r="B10" s="4"/>
      <c r="C10" s="1" t="s">
        <v>12</v>
      </c>
      <c r="D10" s="9">
        <v>1359</v>
      </c>
      <c r="E10" s="9">
        <v>2585</v>
      </c>
      <c r="F10" s="9">
        <v>3857</v>
      </c>
      <c r="G10" s="9">
        <v>4034</v>
      </c>
      <c r="H10" s="10">
        <v>11834</v>
      </c>
    </row>
    <row r="11" spans="1:8" ht="22.5" customHeight="1" x14ac:dyDescent="0.3">
      <c r="A11" s="3"/>
      <c r="B11" s="4"/>
      <c r="C11" s="1" t="s">
        <v>13</v>
      </c>
      <c r="D11" s="11">
        <v>2471</v>
      </c>
      <c r="E11" s="11">
        <v>4112</v>
      </c>
      <c r="F11" s="11">
        <v>2171</v>
      </c>
      <c r="G11" s="11">
        <v>4386</v>
      </c>
      <c r="H11" s="12">
        <v>13140</v>
      </c>
    </row>
    <row r="12" spans="1:8" ht="22.5" customHeight="1" x14ac:dyDescent="0.3">
      <c r="A12" s="3"/>
      <c r="B12" s="6"/>
      <c r="C12" s="2" t="s">
        <v>14</v>
      </c>
      <c r="D12" s="13">
        <v>5199</v>
      </c>
      <c r="E12" s="13">
        <v>5068</v>
      </c>
      <c r="F12" s="13">
        <v>8742</v>
      </c>
      <c r="G12" s="13">
        <v>13294</v>
      </c>
      <c r="H12" s="14">
        <v>32304</v>
      </c>
    </row>
    <row r="13" spans="1:8" ht="22.5" customHeight="1" x14ac:dyDescent="0.3">
      <c r="A13" s="3"/>
      <c r="B13" s="22" t="s">
        <v>15</v>
      </c>
      <c r="C13" s="19"/>
      <c r="D13" s="23"/>
      <c r="E13" s="23"/>
      <c r="F13" s="23"/>
      <c r="G13" s="23"/>
      <c r="H13" s="24">
        <f>SUM(H14:H18)</f>
        <v>101246</v>
      </c>
    </row>
    <row r="14" spans="1:8" ht="22.5" customHeight="1" x14ac:dyDescent="0.3">
      <c r="A14" s="3"/>
      <c r="B14" s="5"/>
      <c r="C14" s="1" t="s">
        <v>16</v>
      </c>
      <c r="D14" s="11">
        <v>6629</v>
      </c>
      <c r="E14" s="11">
        <v>7514</v>
      </c>
      <c r="F14" s="11">
        <v>5393</v>
      </c>
      <c r="G14" s="11">
        <v>7321</v>
      </c>
      <c r="H14" s="12">
        <v>26856</v>
      </c>
    </row>
    <row r="15" spans="1:8" ht="22.5" customHeight="1" x14ac:dyDescent="0.3">
      <c r="A15" s="3"/>
      <c r="B15" s="5"/>
      <c r="C15" s="1" t="s">
        <v>17</v>
      </c>
      <c r="D15" s="11">
        <v>4675</v>
      </c>
      <c r="E15" s="11">
        <v>4185</v>
      </c>
      <c r="F15" s="11">
        <v>7793</v>
      </c>
      <c r="G15" s="11">
        <v>10801</v>
      </c>
      <c r="H15" s="12">
        <v>27454</v>
      </c>
    </row>
    <row r="16" spans="1:8" ht="22.5" customHeight="1" x14ac:dyDescent="0.3">
      <c r="A16" s="3"/>
      <c r="B16" s="5"/>
      <c r="C16" s="1" t="s">
        <v>18</v>
      </c>
      <c r="D16" s="11">
        <v>3562</v>
      </c>
      <c r="E16" s="11">
        <v>4501</v>
      </c>
      <c r="F16" s="11">
        <v>4661</v>
      </c>
      <c r="G16" s="11">
        <v>10418</v>
      </c>
      <c r="H16" s="12">
        <v>23142</v>
      </c>
    </row>
    <row r="17" spans="1:8" ht="22.5" customHeight="1" x14ac:dyDescent="0.3">
      <c r="A17" s="3"/>
      <c r="B17" s="5"/>
      <c r="C17" s="1" t="s">
        <v>19</v>
      </c>
      <c r="D17" s="11">
        <v>2795</v>
      </c>
      <c r="E17" s="11">
        <v>3147</v>
      </c>
      <c r="F17" s="11">
        <v>2778</v>
      </c>
      <c r="G17" s="11">
        <v>2696</v>
      </c>
      <c r="H17" s="12">
        <v>11416</v>
      </c>
    </row>
    <row r="18" spans="1:8" ht="22.5" customHeight="1" x14ac:dyDescent="0.3">
      <c r="A18" s="3"/>
      <c r="B18" s="5"/>
      <c r="C18" s="1" t="s">
        <v>20</v>
      </c>
      <c r="D18" s="11">
        <v>1433</v>
      </c>
      <c r="E18" s="11">
        <v>1752</v>
      </c>
      <c r="F18" s="11">
        <v>5103</v>
      </c>
      <c r="G18" s="11">
        <v>4090</v>
      </c>
      <c r="H18" s="12">
        <v>12378</v>
      </c>
    </row>
    <row r="19" spans="1:8" ht="22.5" customHeight="1" x14ac:dyDescent="0.3">
      <c r="A19" s="15"/>
      <c r="B19" s="22" t="s">
        <v>21</v>
      </c>
      <c r="C19" s="19"/>
      <c r="D19" s="23"/>
      <c r="E19" s="23"/>
      <c r="F19" s="23"/>
      <c r="G19" s="23"/>
      <c r="H19" s="24">
        <f>SUM(H20:H25)</f>
        <v>605530</v>
      </c>
    </row>
    <row r="20" spans="1:8" ht="22.5" customHeight="1" x14ac:dyDescent="0.3">
      <c r="A20" s="15"/>
      <c r="B20" s="5"/>
      <c r="C20" s="1" t="s">
        <v>22</v>
      </c>
      <c r="D20" s="11">
        <v>22644</v>
      </c>
      <c r="E20" s="11">
        <v>22966</v>
      </c>
      <c r="F20" s="11">
        <v>21069</v>
      </c>
      <c r="G20" s="11">
        <v>34152</v>
      </c>
      <c r="H20" s="12">
        <v>100831</v>
      </c>
    </row>
    <row r="21" spans="1:8" ht="22.5" customHeight="1" x14ac:dyDescent="0.3">
      <c r="A21" s="15"/>
      <c r="B21" s="5"/>
      <c r="C21" s="1" t="s">
        <v>23</v>
      </c>
      <c r="D21" s="11">
        <v>30346</v>
      </c>
      <c r="E21" s="11">
        <v>26444</v>
      </c>
      <c r="F21" s="11">
        <v>27280</v>
      </c>
      <c r="G21" s="11">
        <v>40324</v>
      </c>
      <c r="H21" s="12">
        <v>124393</v>
      </c>
    </row>
    <row r="22" spans="1:8" ht="22.5" customHeight="1" x14ac:dyDescent="0.3">
      <c r="A22" s="15"/>
      <c r="B22" s="5"/>
      <c r="C22" s="1" t="s">
        <v>24</v>
      </c>
      <c r="D22" s="11">
        <v>18498</v>
      </c>
      <c r="E22" s="11">
        <v>15942</v>
      </c>
      <c r="F22" s="11">
        <v>40072</v>
      </c>
      <c r="G22" s="11">
        <v>96731</v>
      </c>
      <c r="H22" s="12">
        <v>171242</v>
      </c>
    </row>
    <row r="23" spans="1:8" ht="22.5" customHeight="1" x14ac:dyDescent="0.3">
      <c r="A23" s="15"/>
      <c r="B23" s="5"/>
      <c r="C23" s="1" t="s">
        <v>25</v>
      </c>
      <c r="D23" s="11">
        <v>13440</v>
      </c>
      <c r="E23" s="11">
        <v>12667</v>
      </c>
      <c r="F23" s="11">
        <v>9885</v>
      </c>
      <c r="G23" s="11">
        <v>18291</v>
      </c>
      <c r="H23" s="12">
        <v>54284</v>
      </c>
    </row>
    <row r="24" spans="1:8" ht="22.5" customHeight="1" x14ac:dyDescent="0.3">
      <c r="A24" s="15"/>
      <c r="B24" s="5"/>
      <c r="C24" s="1" t="s">
        <v>26</v>
      </c>
      <c r="D24" s="11">
        <v>7462</v>
      </c>
      <c r="E24" s="11">
        <v>10539</v>
      </c>
      <c r="F24" s="11">
        <v>28552</v>
      </c>
      <c r="G24" s="11">
        <v>27867</v>
      </c>
      <c r="H24" s="12">
        <v>74420</v>
      </c>
    </row>
    <row r="25" spans="1:8" ht="22.5" customHeight="1" x14ac:dyDescent="0.3">
      <c r="A25" s="15"/>
      <c r="B25" s="5"/>
      <c r="C25" s="1" t="s">
        <v>27</v>
      </c>
      <c r="D25" s="11">
        <v>18046</v>
      </c>
      <c r="E25" s="11">
        <v>18984</v>
      </c>
      <c r="F25" s="11">
        <v>19035</v>
      </c>
      <c r="G25" s="11">
        <v>24296</v>
      </c>
      <c r="H25" s="12">
        <v>80360</v>
      </c>
    </row>
    <row r="26" spans="1:8" ht="22.5" customHeight="1" x14ac:dyDescent="0.3">
      <c r="A26" s="15"/>
      <c r="B26" s="22" t="s">
        <v>28</v>
      </c>
      <c r="C26" s="19"/>
      <c r="D26" s="23"/>
      <c r="E26" s="23"/>
      <c r="F26" s="23"/>
      <c r="G26" s="23"/>
      <c r="H26" s="24">
        <f>SUM(H27:H36)</f>
        <v>56495</v>
      </c>
    </row>
    <row r="27" spans="1:8" ht="22.5" customHeight="1" x14ac:dyDescent="0.3">
      <c r="A27" s="15"/>
      <c r="B27" s="5"/>
      <c r="C27" s="1" t="s">
        <v>29</v>
      </c>
      <c r="D27" s="11">
        <v>381</v>
      </c>
      <c r="E27" s="11">
        <v>359</v>
      </c>
      <c r="F27" s="11">
        <v>580</v>
      </c>
      <c r="G27" s="11">
        <v>792</v>
      </c>
      <c r="H27" s="12">
        <v>2112</v>
      </c>
    </row>
    <row r="28" spans="1:8" ht="22.5" customHeight="1" x14ac:dyDescent="0.3">
      <c r="A28" s="15"/>
      <c r="B28" s="5"/>
      <c r="C28" s="1" t="s">
        <v>30</v>
      </c>
      <c r="D28" s="11">
        <v>992</v>
      </c>
      <c r="E28" s="11">
        <v>1812</v>
      </c>
      <c r="F28" s="11">
        <v>954</v>
      </c>
      <c r="G28" s="11">
        <v>2587</v>
      </c>
      <c r="H28" s="12">
        <v>6345</v>
      </c>
    </row>
    <row r="29" spans="1:8" ht="22.5" customHeight="1" x14ac:dyDescent="0.3">
      <c r="A29" s="15"/>
      <c r="B29" s="5"/>
      <c r="C29" s="1" t="s">
        <v>31</v>
      </c>
      <c r="D29" s="11">
        <v>1277</v>
      </c>
      <c r="E29" s="11">
        <v>2283</v>
      </c>
      <c r="F29" s="11">
        <v>2181</v>
      </c>
      <c r="G29" s="11">
        <v>4881</v>
      </c>
      <c r="H29" s="12">
        <v>10621</v>
      </c>
    </row>
    <row r="30" spans="1:8" ht="22.5" customHeight="1" x14ac:dyDescent="0.3">
      <c r="A30" s="15"/>
      <c r="B30" s="5"/>
      <c r="C30" s="1" t="s">
        <v>32</v>
      </c>
      <c r="D30" s="11">
        <v>238</v>
      </c>
      <c r="E30" s="11">
        <v>132</v>
      </c>
      <c r="F30" s="11">
        <v>397</v>
      </c>
      <c r="G30" s="11">
        <v>682</v>
      </c>
      <c r="H30" s="12">
        <v>1449</v>
      </c>
    </row>
    <row r="31" spans="1:8" ht="22.5" customHeight="1" x14ac:dyDescent="0.3">
      <c r="A31" s="15"/>
      <c r="B31" s="5"/>
      <c r="C31" s="1" t="s">
        <v>33</v>
      </c>
      <c r="D31" s="11">
        <v>818</v>
      </c>
      <c r="E31" s="11">
        <v>521</v>
      </c>
      <c r="F31" s="11">
        <v>809</v>
      </c>
      <c r="G31" s="11">
        <v>784</v>
      </c>
      <c r="H31" s="12">
        <v>2932</v>
      </c>
    </row>
    <row r="32" spans="1:8" ht="22.5" customHeight="1" x14ac:dyDescent="0.3">
      <c r="A32" s="15"/>
      <c r="B32" s="5"/>
      <c r="C32" s="1" t="s">
        <v>34</v>
      </c>
      <c r="D32" s="11">
        <v>788</v>
      </c>
      <c r="E32" s="11">
        <v>1032</v>
      </c>
      <c r="F32" s="11">
        <v>1478</v>
      </c>
      <c r="G32" s="11">
        <v>2661</v>
      </c>
      <c r="H32" s="12">
        <v>5958</v>
      </c>
    </row>
    <row r="33" spans="1:8" ht="22.5" customHeight="1" x14ac:dyDescent="0.3">
      <c r="A33" s="15"/>
      <c r="B33" s="5"/>
      <c r="C33" s="1" t="s">
        <v>35</v>
      </c>
      <c r="D33" s="11">
        <v>1553</v>
      </c>
      <c r="E33" s="11">
        <v>1515</v>
      </c>
      <c r="F33" s="11">
        <v>3356</v>
      </c>
      <c r="G33" s="11">
        <v>2895</v>
      </c>
      <c r="H33" s="12">
        <v>9319</v>
      </c>
    </row>
    <row r="34" spans="1:8" ht="22.5" customHeight="1" x14ac:dyDescent="0.3">
      <c r="A34" s="15"/>
      <c r="B34" s="5"/>
      <c r="C34" s="1" t="s">
        <v>36</v>
      </c>
      <c r="D34" s="11">
        <v>292</v>
      </c>
      <c r="E34" s="11">
        <v>257</v>
      </c>
      <c r="F34" s="11">
        <v>267</v>
      </c>
      <c r="G34" s="11">
        <v>396</v>
      </c>
      <c r="H34" s="12">
        <v>1212</v>
      </c>
    </row>
    <row r="35" spans="1:8" ht="22.5" customHeight="1" x14ac:dyDescent="0.3">
      <c r="A35" s="15"/>
      <c r="B35" s="5"/>
      <c r="C35" s="1" t="s">
        <v>37</v>
      </c>
      <c r="D35" s="11">
        <v>1257</v>
      </c>
      <c r="E35" s="11">
        <v>815</v>
      </c>
      <c r="F35" s="11">
        <v>1652</v>
      </c>
      <c r="G35" s="11">
        <v>3948</v>
      </c>
      <c r="H35" s="12">
        <v>7673</v>
      </c>
    </row>
    <row r="36" spans="1:8" ht="22.5" customHeight="1" x14ac:dyDescent="0.3">
      <c r="A36" s="15"/>
      <c r="B36" s="5"/>
      <c r="C36" s="1" t="s">
        <v>38</v>
      </c>
      <c r="D36" s="11">
        <v>982</v>
      </c>
      <c r="E36" s="11">
        <v>1730</v>
      </c>
      <c r="F36" s="11">
        <v>2572</v>
      </c>
      <c r="G36" s="11">
        <v>3591</v>
      </c>
      <c r="H36" s="12">
        <v>8874</v>
      </c>
    </row>
    <row r="37" spans="1:8" ht="22.5" customHeight="1" x14ac:dyDescent="0.3">
      <c r="A37" s="15"/>
      <c r="B37" s="22" t="s">
        <v>39</v>
      </c>
      <c r="C37" s="19"/>
      <c r="D37" s="23"/>
      <c r="E37" s="23"/>
      <c r="F37" s="23"/>
      <c r="G37" s="23"/>
      <c r="H37" s="24">
        <f>SUM(H38:H51)</f>
        <v>514529</v>
      </c>
    </row>
    <row r="38" spans="1:8" ht="22.5" customHeight="1" x14ac:dyDescent="0.3">
      <c r="A38" s="15"/>
      <c r="B38" s="5"/>
      <c r="C38" s="1" t="s">
        <v>40</v>
      </c>
      <c r="D38" s="11">
        <v>5387</v>
      </c>
      <c r="E38" s="11">
        <v>9963</v>
      </c>
      <c r="F38" s="11">
        <v>7230</v>
      </c>
      <c r="G38" s="11">
        <v>12200</v>
      </c>
      <c r="H38" s="12">
        <v>34780</v>
      </c>
    </row>
    <row r="39" spans="1:8" ht="22.5" customHeight="1" x14ac:dyDescent="0.3">
      <c r="A39" s="15"/>
      <c r="B39" s="5"/>
      <c r="C39" s="1" t="s">
        <v>41</v>
      </c>
      <c r="D39" s="11">
        <v>5668</v>
      </c>
      <c r="E39" s="11">
        <v>8251</v>
      </c>
      <c r="F39" s="11">
        <v>2591</v>
      </c>
      <c r="G39" s="11">
        <v>14884</v>
      </c>
      <c r="H39" s="12">
        <v>31395</v>
      </c>
    </row>
    <row r="40" spans="1:8" ht="22.5" customHeight="1" x14ac:dyDescent="0.3">
      <c r="A40" s="15"/>
      <c r="B40" s="5"/>
      <c r="C40" s="1" t="s">
        <v>42</v>
      </c>
      <c r="D40" s="11">
        <v>9372</v>
      </c>
      <c r="E40" s="11">
        <v>6284</v>
      </c>
      <c r="F40" s="11">
        <v>11082</v>
      </c>
      <c r="G40" s="11">
        <v>16376</v>
      </c>
      <c r="H40" s="12">
        <v>43115</v>
      </c>
    </row>
    <row r="41" spans="1:8" ht="22.5" customHeight="1" x14ac:dyDescent="0.3">
      <c r="A41" s="15"/>
      <c r="B41" s="5"/>
      <c r="C41" s="1" t="s">
        <v>43</v>
      </c>
      <c r="D41" s="11">
        <v>5791</v>
      </c>
      <c r="E41" s="11">
        <v>9403</v>
      </c>
      <c r="F41" s="11">
        <v>10232</v>
      </c>
      <c r="G41" s="11">
        <v>7320</v>
      </c>
      <c r="H41" s="12">
        <v>32746</v>
      </c>
    </row>
    <row r="42" spans="1:8" ht="22.5" customHeight="1" x14ac:dyDescent="0.3">
      <c r="A42" s="15"/>
      <c r="B42" s="5"/>
      <c r="C42" s="1" t="s">
        <v>44</v>
      </c>
      <c r="D42" s="11">
        <v>7325</v>
      </c>
      <c r="E42" s="11">
        <v>9111</v>
      </c>
      <c r="F42" s="11">
        <v>15515</v>
      </c>
      <c r="G42" s="11">
        <v>12451</v>
      </c>
      <c r="H42" s="12">
        <v>44402</v>
      </c>
    </row>
    <row r="43" spans="1:8" ht="22.5" customHeight="1" x14ac:dyDescent="0.3">
      <c r="A43" s="15"/>
      <c r="B43" s="5"/>
      <c r="C43" s="1" t="s">
        <v>45</v>
      </c>
      <c r="D43" s="11">
        <v>14892</v>
      </c>
      <c r="E43" s="11">
        <v>11193</v>
      </c>
      <c r="F43" s="11">
        <v>14721</v>
      </c>
      <c r="G43" s="11">
        <v>24853</v>
      </c>
      <c r="H43" s="12">
        <v>65659</v>
      </c>
    </row>
    <row r="44" spans="1:8" ht="22.5" customHeight="1" x14ac:dyDescent="0.3">
      <c r="A44" s="15"/>
      <c r="B44" s="5"/>
      <c r="C44" s="1" t="s">
        <v>46</v>
      </c>
      <c r="D44" s="11">
        <v>1037</v>
      </c>
      <c r="E44" s="11">
        <v>3712</v>
      </c>
      <c r="F44" s="11">
        <v>14432</v>
      </c>
      <c r="G44" s="11">
        <v>20021</v>
      </c>
      <c r="H44" s="12">
        <v>39201</v>
      </c>
    </row>
    <row r="45" spans="1:8" ht="22.5" customHeight="1" x14ac:dyDescent="0.3">
      <c r="A45" s="15"/>
      <c r="B45" s="5"/>
      <c r="C45" s="1" t="s">
        <v>47</v>
      </c>
      <c r="D45" s="11">
        <v>14855</v>
      </c>
      <c r="E45" s="11">
        <v>10091</v>
      </c>
      <c r="F45" s="11">
        <v>19550</v>
      </c>
      <c r="G45" s="11">
        <v>35147</v>
      </c>
      <c r="H45" s="12">
        <v>79643</v>
      </c>
    </row>
    <row r="46" spans="1:8" ht="22.5" customHeight="1" x14ac:dyDescent="0.3">
      <c r="A46" s="15"/>
      <c r="B46" s="5"/>
      <c r="C46" s="1" t="s">
        <v>48</v>
      </c>
      <c r="D46" s="11">
        <v>1025</v>
      </c>
      <c r="E46" s="11">
        <v>6837</v>
      </c>
      <c r="F46" s="11">
        <v>6161</v>
      </c>
      <c r="G46" s="11">
        <v>8576</v>
      </c>
      <c r="H46" s="12">
        <v>22600</v>
      </c>
    </row>
    <row r="47" spans="1:8" ht="22.5" customHeight="1" x14ac:dyDescent="0.3">
      <c r="A47" s="15"/>
      <c r="B47" s="5"/>
      <c r="C47" s="1" t="s">
        <v>49</v>
      </c>
      <c r="D47" s="11">
        <v>996</v>
      </c>
      <c r="E47" s="11">
        <v>5964</v>
      </c>
      <c r="F47" s="11">
        <v>6532</v>
      </c>
      <c r="G47" s="11">
        <v>13055</v>
      </c>
      <c r="H47" s="12">
        <v>26547</v>
      </c>
    </row>
    <row r="48" spans="1:8" ht="22.5" customHeight="1" x14ac:dyDescent="0.3">
      <c r="A48" s="15"/>
      <c r="B48" s="5"/>
      <c r="C48" s="1" t="s">
        <v>50</v>
      </c>
      <c r="D48" s="11">
        <v>4149</v>
      </c>
      <c r="E48" s="11">
        <v>6498</v>
      </c>
      <c r="F48" s="11">
        <v>5732</v>
      </c>
      <c r="G48" s="11">
        <v>3789</v>
      </c>
      <c r="H48" s="12">
        <v>20168</v>
      </c>
    </row>
    <row r="49" spans="1:8" ht="22.5" customHeight="1" x14ac:dyDescent="0.3">
      <c r="A49" s="15"/>
      <c r="B49" s="5"/>
      <c r="C49" s="1" t="s">
        <v>51</v>
      </c>
      <c r="D49" s="11">
        <v>3586</v>
      </c>
      <c r="E49" s="11">
        <v>4251</v>
      </c>
      <c r="F49" s="11">
        <v>6249</v>
      </c>
      <c r="G49" s="11">
        <v>5003</v>
      </c>
      <c r="H49" s="12">
        <v>19088</v>
      </c>
    </row>
    <row r="50" spans="1:8" ht="22.5" customHeight="1" x14ac:dyDescent="0.3">
      <c r="A50" s="15"/>
      <c r="B50" s="5"/>
      <c r="C50" s="1" t="s">
        <v>52</v>
      </c>
      <c r="D50" s="11">
        <v>3402</v>
      </c>
      <c r="E50" s="11">
        <v>2610</v>
      </c>
      <c r="F50" s="11">
        <v>10446</v>
      </c>
      <c r="G50" s="11">
        <v>8837</v>
      </c>
      <c r="H50" s="12">
        <v>25295</v>
      </c>
    </row>
    <row r="51" spans="1:8" ht="22.5" customHeight="1" x14ac:dyDescent="0.3">
      <c r="A51" s="15"/>
      <c r="B51" s="5"/>
      <c r="C51" s="1" t="s">
        <v>53</v>
      </c>
      <c r="D51" s="11">
        <v>5993</v>
      </c>
      <c r="E51" s="11">
        <v>7217</v>
      </c>
      <c r="F51" s="11">
        <v>8617</v>
      </c>
      <c r="G51" s="11">
        <v>8063</v>
      </c>
      <c r="H51" s="12">
        <v>29890</v>
      </c>
    </row>
    <row r="52" spans="1:8" ht="22.5" customHeight="1" x14ac:dyDescent="0.3">
      <c r="A52" s="15"/>
      <c r="B52" s="22" t="s">
        <v>54</v>
      </c>
      <c r="C52" s="19"/>
      <c r="D52" s="23"/>
      <c r="E52" s="23"/>
      <c r="F52" s="23"/>
      <c r="G52" s="23"/>
      <c r="H52" s="24">
        <f>SUM(H53:H57)</f>
        <v>116846</v>
      </c>
    </row>
    <row r="53" spans="1:8" ht="22.5" customHeight="1" x14ac:dyDescent="0.3">
      <c r="A53" s="15"/>
      <c r="B53" s="5"/>
      <c r="C53" s="1" t="s">
        <v>55</v>
      </c>
      <c r="D53" s="11">
        <v>7042</v>
      </c>
      <c r="E53" s="11">
        <v>4963</v>
      </c>
      <c r="F53" s="11">
        <v>7757</v>
      </c>
      <c r="G53" s="11">
        <v>6206</v>
      </c>
      <c r="H53" s="12">
        <v>25968</v>
      </c>
    </row>
    <row r="54" spans="1:8" ht="22.5" customHeight="1" x14ac:dyDescent="0.3">
      <c r="A54" s="15"/>
      <c r="B54" s="5"/>
      <c r="C54" s="1" t="s">
        <v>56</v>
      </c>
      <c r="D54" s="11">
        <v>216</v>
      </c>
      <c r="E54" s="11">
        <v>6142</v>
      </c>
      <c r="F54" s="11">
        <v>6821</v>
      </c>
      <c r="G54" s="11">
        <v>9002</v>
      </c>
      <c r="H54" s="12">
        <v>22180</v>
      </c>
    </row>
    <row r="55" spans="1:8" ht="22.5" customHeight="1" x14ac:dyDescent="0.3">
      <c r="A55" s="15"/>
      <c r="B55" s="5"/>
      <c r="C55" s="1" t="s">
        <v>57</v>
      </c>
      <c r="D55" s="11">
        <v>3048</v>
      </c>
      <c r="E55" s="11">
        <v>4004</v>
      </c>
      <c r="F55" s="11">
        <v>8490</v>
      </c>
      <c r="G55" s="11">
        <v>8200</v>
      </c>
      <c r="H55" s="12">
        <v>23743</v>
      </c>
    </row>
    <row r="56" spans="1:8" ht="22.5" customHeight="1" x14ac:dyDescent="0.3">
      <c r="A56" s="15"/>
      <c r="B56" s="5"/>
      <c r="C56" s="1" t="s">
        <v>58</v>
      </c>
      <c r="D56" s="11">
        <v>2068</v>
      </c>
      <c r="E56" s="11">
        <v>4713</v>
      </c>
      <c r="F56" s="11">
        <v>5164</v>
      </c>
      <c r="G56" s="11">
        <v>9235</v>
      </c>
      <c r="H56" s="12">
        <v>21180</v>
      </c>
    </row>
    <row r="57" spans="1:8" ht="22.5" customHeight="1" x14ac:dyDescent="0.3">
      <c r="A57" s="15"/>
      <c r="B57" s="5"/>
      <c r="C57" s="1" t="s">
        <v>59</v>
      </c>
      <c r="D57" s="11">
        <v>1406</v>
      </c>
      <c r="E57" s="11">
        <v>6083</v>
      </c>
      <c r="F57" s="11">
        <v>8540</v>
      </c>
      <c r="G57" s="11">
        <v>7747</v>
      </c>
      <c r="H57" s="12">
        <v>23775</v>
      </c>
    </row>
    <row r="58" spans="1:8" ht="22.5" customHeight="1" x14ac:dyDescent="0.3">
      <c r="A58" s="15"/>
      <c r="B58" s="22" t="s">
        <v>60</v>
      </c>
      <c r="C58" s="19"/>
      <c r="D58" s="23"/>
      <c r="E58" s="23"/>
      <c r="F58" s="23"/>
      <c r="G58" s="23"/>
      <c r="H58" s="24">
        <f>SUM(H59:H66)</f>
        <v>106545</v>
      </c>
    </row>
    <row r="59" spans="1:8" ht="22.5" customHeight="1" x14ac:dyDescent="0.3">
      <c r="A59" s="15"/>
      <c r="B59" s="5"/>
      <c r="C59" s="1" t="s">
        <v>61</v>
      </c>
      <c r="D59" s="11">
        <v>1971</v>
      </c>
      <c r="E59" s="11">
        <v>1129</v>
      </c>
      <c r="F59" s="11">
        <v>2839</v>
      </c>
      <c r="G59" s="11">
        <v>2113</v>
      </c>
      <c r="H59" s="12">
        <v>8052</v>
      </c>
    </row>
    <row r="60" spans="1:8" ht="22.5" customHeight="1" x14ac:dyDescent="0.3">
      <c r="A60" s="15"/>
      <c r="B60" s="5"/>
      <c r="C60" s="1" t="s">
        <v>62</v>
      </c>
      <c r="D60" s="11">
        <v>2188</v>
      </c>
      <c r="E60" s="11">
        <v>4061</v>
      </c>
      <c r="F60" s="11">
        <v>2815</v>
      </c>
      <c r="G60" s="11">
        <v>3852</v>
      </c>
      <c r="H60" s="12">
        <v>12916</v>
      </c>
    </row>
    <row r="61" spans="1:8" ht="22.5" customHeight="1" x14ac:dyDescent="0.3">
      <c r="A61" s="15"/>
      <c r="B61" s="5"/>
      <c r="C61" s="1" t="s">
        <v>63</v>
      </c>
      <c r="D61" s="11">
        <v>3574</v>
      </c>
      <c r="E61" s="11">
        <v>5506</v>
      </c>
      <c r="F61" s="11">
        <v>2296</v>
      </c>
      <c r="G61" s="11">
        <v>4178</v>
      </c>
      <c r="H61" s="12">
        <v>15553</v>
      </c>
    </row>
    <row r="62" spans="1:8" ht="22.5" customHeight="1" x14ac:dyDescent="0.3">
      <c r="A62" s="15"/>
      <c r="B62" s="5"/>
      <c r="C62" s="1" t="s">
        <v>64</v>
      </c>
      <c r="D62" s="11">
        <v>130</v>
      </c>
      <c r="E62" s="11">
        <v>233</v>
      </c>
      <c r="F62" s="11">
        <v>276</v>
      </c>
      <c r="G62" s="11">
        <v>367</v>
      </c>
      <c r="H62" s="12">
        <v>1006</v>
      </c>
    </row>
    <row r="63" spans="1:8" ht="22.5" customHeight="1" x14ac:dyDescent="0.3">
      <c r="A63" s="15"/>
      <c r="B63" s="5"/>
      <c r="C63" s="1" t="s">
        <v>65</v>
      </c>
      <c r="D63" s="11">
        <v>151</v>
      </c>
      <c r="E63" s="11">
        <v>181</v>
      </c>
      <c r="F63" s="11">
        <v>316</v>
      </c>
      <c r="G63" s="11">
        <v>327</v>
      </c>
      <c r="H63" s="12">
        <v>976</v>
      </c>
    </row>
    <row r="64" spans="1:8" ht="22.5" customHeight="1" x14ac:dyDescent="0.3">
      <c r="A64" s="15"/>
      <c r="B64" s="5"/>
      <c r="C64" s="1" t="s">
        <v>66</v>
      </c>
      <c r="D64" s="11">
        <v>145</v>
      </c>
      <c r="E64" s="11">
        <v>259</v>
      </c>
      <c r="F64" s="11">
        <v>363</v>
      </c>
      <c r="G64" s="11">
        <v>469</v>
      </c>
      <c r="H64" s="12">
        <v>1237</v>
      </c>
    </row>
    <row r="65" spans="1:8" ht="22.5" customHeight="1" x14ac:dyDescent="0.3">
      <c r="A65" s="15"/>
      <c r="B65" s="5"/>
      <c r="C65" s="1" t="s">
        <v>67</v>
      </c>
      <c r="D65" s="11">
        <v>6927</v>
      </c>
      <c r="E65" s="11">
        <v>8238</v>
      </c>
      <c r="F65" s="11">
        <v>6918</v>
      </c>
      <c r="G65" s="11">
        <v>10113</v>
      </c>
      <c r="H65" s="12">
        <v>32196</v>
      </c>
    </row>
    <row r="66" spans="1:8" ht="22.5" customHeight="1" x14ac:dyDescent="0.3">
      <c r="A66" s="15"/>
      <c r="B66" s="5"/>
      <c r="C66" s="1" t="s">
        <v>68</v>
      </c>
      <c r="D66" s="11">
        <v>9009</v>
      </c>
      <c r="E66" s="11">
        <v>8186</v>
      </c>
      <c r="F66" s="11">
        <v>4958</v>
      </c>
      <c r="G66" s="11">
        <v>12457</v>
      </c>
      <c r="H66" s="12">
        <v>34609</v>
      </c>
    </row>
    <row r="67" spans="1:8" ht="22.5" customHeight="1" x14ac:dyDescent="0.3">
      <c r="A67" s="15"/>
      <c r="B67" s="22" t="s">
        <v>69</v>
      </c>
      <c r="C67" s="19"/>
      <c r="D67" s="23"/>
      <c r="E67" s="23"/>
      <c r="F67" s="23"/>
      <c r="G67" s="23"/>
      <c r="H67" s="24">
        <f>SUM(H68:H71)</f>
        <v>56613</v>
      </c>
    </row>
    <row r="68" spans="1:8" ht="22.5" customHeight="1" x14ac:dyDescent="0.3">
      <c r="A68" s="15"/>
      <c r="B68" s="5"/>
      <c r="C68" s="1" t="s">
        <v>70</v>
      </c>
      <c r="D68" s="11">
        <v>871</v>
      </c>
      <c r="E68" s="11">
        <v>2670</v>
      </c>
      <c r="F68" s="11">
        <v>1568</v>
      </c>
      <c r="G68" s="11">
        <v>3050</v>
      </c>
      <c r="H68" s="12">
        <v>8159</v>
      </c>
    </row>
    <row r="69" spans="1:8" ht="22.5" customHeight="1" x14ac:dyDescent="0.3">
      <c r="A69" s="15"/>
      <c r="B69" s="5"/>
      <c r="C69" s="1" t="s">
        <v>71</v>
      </c>
      <c r="D69" s="11">
        <v>2482</v>
      </c>
      <c r="E69" s="11">
        <v>2850</v>
      </c>
      <c r="F69" s="11">
        <v>3088</v>
      </c>
      <c r="G69" s="11">
        <v>3037</v>
      </c>
      <c r="H69" s="12">
        <v>11458</v>
      </c>
    </row>
    <row r="70" spans="1:8" ht="22.5" customHeight="1" x14ac:dyDescent="0.3">
      <c r="A70" s="15"/>
      <c r="B70" s="5"/>
      <c r="C70" s="1" t="s">
        <v>72</v>
      </c>
      <c r="D70" s="11">
        <v>2594</v>
      </c>
      <c r="E70" s="11">
        <v>1653</v>
      </c>
      <c r="F70" s="11">
        <v>1608</v>
      </c>
      <c r="G70" s="11">
        <v>9916</v>
      </c>
      <c r="H70" s="12">
        <v>15771</v>
      </c>
    </row>
    <row r="71" spans="1:8" ht="22.5" customHeight="1" x14ac:dyDescent="0.3">
      <c r="A71" s="16"/>
      <c r="B71" s="7"/>
      <c r="C71" s="2" t="s">
        <v>73</v>
      </c>
      <c r="D71" s="13">
        <v>4782</v>
      </c>
      <c r="E71" s="13">
        <v>4511</v>
      </c>
      <c r="F71" s="13">
        <v>5253</v>
      </c>
      <c r="G71" s="13">
        <v>6679</v>
      </c>
      <c r="H71" s="14">
        <v>21225</v>
      </c>
    </row>
  </sheetData>
  <mergeCells count="8">
    <mergeCell ref="A2:H3"/>
    <mergeCell ref="G5:G6"/>
    <mergeCell ref="H5:H6"/>
    <mergeCell ref="A5:B5"/>
    <mergeCell ref="C5:C6"/>
    <mergeCell ref="D5:D6"/>
    <mergeCell ref="E5:E6"/>
    <mergeCell ref="F5:F6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(Workbook) BeforePrint 이벤트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cp:lastPrinted>2019-03-20T22:39:24Z</cp:lastPrinted>
  <dcterms:created xsi:type="dcterms:W3CDTF">2019-08-29T00:39:20Z</dcterms:created>
  <dcterms:modified xsi:type="dcterms:W3CDTF">2019-08-29T00:39:21Z</dcterms:modified>
</cp:coreProperties>
</file>